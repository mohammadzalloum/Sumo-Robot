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70E9063B-21C8-4BD6-BC37-CF7DC059F139}" xr6:coauthVersionLast="47" xr6:coauthVersionMax="47" xr10:uidLastSave="{00000000-0000-0000-0000-000000000000}"/>
  <bookViews>
    <workbookView xWindow="-28920" yWindow="-1515" windowWidth="29040" windowHeight="15720" xr2:uid="{00000000-000D-0000-FFFF-FFFF00000000}"/>
  </bookViews>
  <sheets>
    <sheet name="Compon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3" i="1" s="1"/>
</calcChain>
</file>

<file path=xl/sharedStrings.xml><?xml version="1.0" encoding="utf-8"?>
<sst xmlns="http://schemas.openxmlformats.org/spreadsheetml/2006/main" count="48" uniqueCount="48">
  <si>
    <t>Component</t>
  </si>
  <si>
    <t>Quantity</t>
  </si>
  <si>
    <t>Description</t>
  </si>
  <si>
    <t>Weight (g)</t>
  </si>
  <si>
    <t>Total Weight (g)</t>
  </si>
  <si>
    <t>SUMO Titan DC Gearhead Motor 12V 200 RPM</t>
  </si>
  <si>
    <t>12V 200RPM geared DC motor</t>
  </si>
  <si>
    <t>LiPower LIPO BATTERY 3S 11.1V 3200MAH XT60 35C</t>
  </si>
  <si>
    <t>11.1V 3S LiPo battery (XT60)</t>
  </si>
  <si>
    <t>Japan Razor Blade (0.245×18.4×200 - 23°)</t>
  </si>
  <si>
    <t>Razor blade for front wedge</t>
  </si>
  <si>
    <t>L-Type Bracket for 37mm DC Gear Motor (Sumo, JGB37-520)</t>
  </si>
  <si>
    <t>L‑brackets for 37mm gear motor</t>
  </si>
  <si>
    <t>7mm Mini Momentary Button Switch</t>
  </si>
  <si>
    <t>Mini momentary push buttons</t>
  </si>
  <si>
    <t>SUMO JS4320 Aluminum-Silicone Wheel (43mm x 20mm)</t>
  </si>
  <si>
    <t>43×20mm wheel pair (aluminum/silicone)</t>
  </si>
  <si>
    <t>BTS7960 Dual H-Bridge</t>
  </si>
  <si>
    <t>BTS7960 H‑bridge motor driver module</t>
  </si>
  <si>
    <t>CD74HC4067 Multiplexer</t>
  </si>
  <si>
    <t>CD74HC4067 16‑ch multiplexer module</t>
  </si>
  <si>
    <t>(ToF) Laser Ranging Sensor</t>
  </si>
  <si>
    <t>ToF laser distance sensor</t>
  </si>
  <si>
    <t>TCRT5000 Infrared Reflective Sensor</t>
  </si>
  <si>
    <t>IR reflective sensor (line/edge)</t>
  </si>
  <si>
    <t>DC-DC Buck Converter Step-Down</t>
  </si>
  <si>
    <t>DC‑DC buck converter (step‑down)</t>
  </si>
  <si>
    <t>Mini SPST Rocker Switch AC250V</t>
  </si>
  <si>
    <t>SPST rocker switch</t>
  </si>
  <si>
    <t>10-Way Rainbow Ribbon Cable (5 m)</t>
  </si>
  <si>
    <t>10‑way rainbow ribbon cable (5m)</t>
  </si>
  <si>
    <t>ESP32 S3</t>
  </si>
  <si>
    <t>ESP32‑S3 microcontroller board</t>
  </si>
  <si>
    <t>ESP32 S3 Expansion Board</t>
  </si>
  <si>
    <t>ESP32‑S3 expansion/breakout board</t>
  </si>
  <si>
    <t>Shrink Tubing</t>
  </si>
  <si>
    <t>Heat‑shrink tubing</t>
  </si>
  <si>
    <t>Junter Stainless Steel Phillips Machine Screw M3 x 18mm</t>
  </si>
  <si>
    <t>M3×18mm Phillips screws (100 pcs)</t>
  </si>
  <si>
    <t>Stainless Steel Flat Washer M3</t>
  </si>
  <si>
    <t>M3 flat washers (100 pcs)</t>
  </si>
  <si>
    <t>Thin Nut Hexagonal Nut M3</t>
  </si>
  <si>
    <t>M3 thin hex nuts (100 pcs)</t>
  </si>
  <si>
    <t>304 Stainless Steel Sheet 0.5X200X200mm</t>
  </si>
  <si>
    <t>0.5mm stainless steel sheet (200×200mm)</t>
  </si>
  <si>
    <t>Foil Aluminum</t>
  </si>
  <si>
    <t>Aluminum foil (shielding/insulation)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</si>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</sst>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 wrapText="1"/>
    </xf>
    <xf numFmtId="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right"/>
    </xf>
    <xf numFmtId="2" fontId="1" fillId="0" borderId="0" xfId="0" applyNumberFormat="1" applyFont="1"/>
    <xf numFmtId="0" fontId="2" fillId="2" borderId="0" xfId="1" applyAlignment="1">
      <alignment horizontal="center" vertical="center" wrapText="1"/>
    </xf>
  </cellXfs>
  <cellStyles count="2">
    <cellStyle name="60% - Accent1" xfId="1" builtinId="3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pane ySplit="1" topLeftCell="A2" activePane="bottomLeft" state="frozen"/>
      <selection pane="bottomLeft" activeCell="C31" sqref="C31"/>
    </sheetView>
  </sheetViews>
  <sheetFormatPr defaultRowHeight="14.4" x14ac:dyDescent="0.3"/>
  <cols>
    <col min="1" max="1" width="48" customWidth="1"/>
    <col min="2" max="2" width="10" customWidth="1"/>
    <col min="3" max="3" width="45" customWidth="1"/>
    <col min="4" max="4" width="12" customWidth="1"/>
    <col min="5" max="5" width="16" customWidth="1"/>
  </cols>
  <sheetData>
    <row r="1" spans="1: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1" t="s">
        <v>5</v>
      </c>
      <c r="B2" s="2">
        <v>6</v>
      </c>
      <c r="C2" s="1" t="s">
        <v>6</v>
      </c>
      <c r="D2" s="3">
        <v>190</v>
      </c>
      <c r="E2" s="3">
        <f t="shared" ref="E2:E22" si="0">B2*D2</f>
        <v>1140</v>
      </c>
    </row>
    <row r="3" spans="1:5" x14ac:dyDescent="0.3">
      <c r="A3" s="1" t="s">
        <v>7</v>
      </c>
      <c r="B3" s="2">
        <v>1</v>
      </c>
      <c r="C3" s="1" t="s">
        <v>8</v>
      </c>
      <c r="D3" s="3">
        <v>280</v>
      </c>
      <c r="E3" s="3">
        <f t="shared" si="0"/>
        <v>280</v>
      </c>
    </row>
    <row r="4" spans="1:5" x14ac:dyDescent="0.3">
      <c r="A4" s="1" t="s">
        <v>9</v>
      </c>
      <c r="B4" s="2">
        <v>1</v>
      </c>
      <c r="C4" s="1" t="s">
        <v>10</v>
      </c>
      <c r="D4" s="3">
        <v>7.15</v>
      </c>
      <c r="E4" s="3">
        <f t="shared" si="0"/>
        <v>7.15</v>
      </c>
    </row>
    <row r="5" spans="1:5" ht="28.8" x14ac:dyDescent="0.3">
      <c r="A5" s="1" t="s">
        <v>11</v>
      </c>
      <c r="B5" s="2">
        <v>6</v>
      </c>
      <c r="C5" s="1" t="s">
        <v>12</v>
      </c>
      <c r="D5" s="3">
        <v>20</v>
      </c>
      <c r="E5" s="3">
        <f t="shared" si="0"/>
        <v>120</v>
      </c>
    </row>
    <row r="6" spans="1:5" x14ac:dyDescent="0.3">
      <c r="A6" s="1" t="s">
        <v>13</v>
      </c>
      <c r="B6" s="2">
        <v>5</v>
      </c>
      <c r="C6" s="1" t="s">
        <v>14</v>
      </c>
      <c r="D6" s="3">
        <v>20</v>
      </c>
      <c r="E6" s="3">
        <f t="shared" si="0"/>
        <v>100</v>
      </c>
    </row>
    <row r="7" spans="1:5" x14ac:dyDescent="0.3">
      <c r="A7" s="1" t="s">
        <v>15</v>
      </c>
      <c r="B7" s="2">
        <v>6</v>
      </c>
      <c r="C7" s="1" t="s">
        <v>16</v>
      </c>
      <c r="D7" s="3">
        <v>26</v>
      </c>
      <c r="E7" s="3">
        <f t="shared" si="0"/>
        <v>156</v>
      </c>
    </row>
    <row r="8" spans="1:5" x14ac:dyDescent="0.3">
      <c r="A8" s="1" t="s">
        <v>17</v>
      </c>
      <c r="B8" s="2">
        <v>4</v>
      </c>
      <c r="C8" s="1" t="s">
        <v>18</v>
      </c>
      <c r="D8" s="3">
        <v>66</v>
      </c>
      <c r="E8" s="3">
        <f t="shared" si="0"/>
        <v>264</v>
      </c>
    </row>
    <row r="9" spans="1:5" x14ac:dyDescent="0.3">
      <c r="A9" s="1" t="s">
        <v>19</v>
      </c>
      <c r="B9" s="2">
        <v>1</v>
      </c>
      <c r="C9" s="1" t="s">
        <v>20</v>
      </c>
      <c r="D9" s="3">
        <v>5</v>
      </c>
      <c r="E9" s="3">
        <f t="shared" si="0"/>
        <v>5</v>
      </c>
    </row>
    <row r="10" spans="1:5" x14ac:dyDescent="0.3">
      <c r="A10" s="1" t="s">
        <v>21</v>
      </c>
      <c r="B10" s="2">
        <v>6</v>
      </c>
      <c r="C10" s="1" t="s">
        <v>22</v>
      </c>
      <c r="D10" s="3">
        <v>1</v>
      </c>
      <c r="E10" s="3">
        <f t="shared" si="0"/>
        <v>6</v>
      </c>
    </row>
    <row r="11" spans="1:5" x14ac:dyDescent="0.3">
      <c r="A11" s="1" t="s">
        <v>23</v>
      </c>
      <c r="B11" s="2">
        <v>4</v>
      </c>
      <c r="C11" s="1" t="s">
        <v>24</v>
      </c>
      <c r="D11" s="3">
        <v>3</v>
      </c>
      <c r="E11" s="3">
        <f t="shared" si="0"/>
        <v>12</v>
      </c>
    </row>
    <row r="12" spans="1:5" x14ac:dyDescent="0.3">
      <c r="A12" s="1" t="s">
        <v>25</v>
      </c>
      <c r="B12" s="2">
        <v>3</v>
      </c>
      <c r="C12" s="1" t="s">
        <v>26</v>
      </c>
      <c r="D12" s="3">
        <v>15</v>
      </c>
      <c r="E12" s="3">
        <f t="shared" si="0"/>
        <v>45</v>
      </c>
    </row>
    <row r="13" spans="1:5" x14ac:dyDescent="0.3">
      <c r="A13" s="1" t="s">
        <v>27</v>
      </c>
      <c r="B13" s="2">
        <v>3</v>
      </c>
      <c r="C13" s="1" t="s">
        <v>28</v>
      </c>
      <c r="D13" s="3">
        <v>3</v>
      </c>
      <c r="E13" s="3">
        <f t="shared" si="0"/>
        <v>9</v>
      </c>
    </row>
    <row r="14" spans="1:5" x14ac:dyDescent="0.3">
      <c r="A14" s="1" t="s">
        <v>29</v>
      </c>
      <c r="B14" s="2">
        <v>1</v>
      </c>
      <c r="C14" s="1" t="s">
        <v>30</v>
      </c>
      <c r="D14" s="3">
        <v>89</v>
      </c>
      <c r="E14" s="3">
        <f t="shared" si="0"/>
        <v>89</v>
      </c>
    </row>
    <row r="15" spans="1:5" x14ac:dyDescent="0.3">
      <c r="A15" s="1" t="s">
        <v>31</v>
      </c>
      <c r="B15" s="2">
        <v>1</v>
      </c>
      <c r="C15" s="1" t="s">
        <v>32</v>
      </c>
      <c r="D15" s="3">
        <v>32.29</v>
      </c>
      <c r="E15" s="3">
        <f t="shared" si="0"/>
        <v>32.29</v>
      </c>
    </row>
    <row r="16" spans="1:5" x14ac:dyDescent="0.3">
      <c r="A16" s="1" t="s">
        <v>33</v>
      </c>
      <c r="B16" s="2">
        <v>1</v>
      </c>
      <c r="C16" s="1" t="s">
        <v>34</v>
      </c>
      <c r="D16" s="3">
        <v>43.9</v>
      </c>
      <c r="E16" s="3">
        <f t="shared" si="0"/>
        <v>43.9</v>
      </c>
    </row>
    <row r="17" spans="1:5" x14ac:dyDescent="0.3">
      <c r="A17" s="1" t="s">
        <v>35</v>
      </c>
      <c r="B17" s="2">
        <v>1</v>
      </c>
      <c r="C17" s="1" t="s">
        <v>36</v>
      </c>
      <c r="D17" s="3">
        <v>50</v>
      </c>
      <c r="E17" s="3">
        <f t="shared" si="0"/>
        <v>50</v>
      </c>
    </row>
    <row r="18" spans="1:5" x14ac:dyDescent="0.3">
      <c r="A18" s="1" t="s">
        <v>37</v>
      </c>
      <c r="B18" s="2">
        <v>1</v>
      </c>
      <c r="C18" s="1" t="s">
        <v>38</v>
      </c>
      <c r="D18" s="3">
        <v>100</v>
      </c>
      <c r="E18" s="3">
        <f t="shared" si="0"/>
        <v>100</v>
      </c>
    </row>
    <row r="19" spans="1:5" x14ac:dyDescent="0.3">
      <c r="A19" s="1" t="s">
        <v>39</v>
      </c>
      <c r="B19" s="2">
        <v>1</v>
      </c>
      <c r="C19" s="1" t="s">
        <v>40</v>
      </c>
      <c r="D19" s="3">
        <v>25</v>
      </c>
      <c r="E19" s="3">
        <f t="shared" si="0"/>
        <v>25</v>
      </c>
    </row>
    <row r="20" spans="1:5" x14ac:dyDescent="0.3">
      <c r="A20" s="1" t="s">
        <v>41</v>
      </c>
      <c r="B20" s="2">
        <v>1</v>
      </c>
      <c r="C20" s="1" t="s">
        <v>42</v>
      </c>
      <c r="D20" s="3">
        <v>40</v>
      </c>
      <c r="E20" s="3">
        <f t="shared" si="0"/>
        <v>40</v>
      </c>
    </row>
    <row r="21" spans="1:5" x14ac:dyDescent="0.3">
      <c r="A21" s="1" t="s">
        <v>43</v>
      </c>
      <c r="B21" s="2">
        <v>1</v>
      </c>
      <c r="C21" s="1" t="s">
        <v>44</v>
      </c>
      <c r="D21" s="3">
        <v>160</v>
      </c>
      <c r="E21" s="3">
        <f t="shared" si="0"/>
        <v>160</v>
      </c>
    </row>
    <row r="22" spans="1:5" x14ac:dyDescent="0.3">
      <c r="A22" s="1" t="s">
        <v>45</v>
      </c>
      <c r="B22" s="2">
        <v>1</v>
      </c>
      <c r="C22" s="1" t="s">
        <v>46</v>
      </c>
      <c r="D22" s="3">
        <v>50</v>
      </c>
      <c r="E22" s="3">
        <f t="shared" si="0"/>
        <v>50</v>
      </c>
    </row>
    <row r="23" spans="1:5" x14ac:dyDescent="0.3">
      <c r="A23" s="4" t="s">
        <v>47</v>
      </c>
      <c r="E23" s="5">
        <f>SUM(E2:E22)</f>
        <v>2734.34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zalloum</cp:lastModifiedBy>
  <dcterms:created xsi:type="dcterms:W3CDTF">2025-12-18T10:07:35Z</dcterms:created>
  <dcterms:modified xsi:type="dcterms:W3CDTF">2025-12-18T10:12:23Z</dcterms:modified>
</cp:coreProperties>
</file>